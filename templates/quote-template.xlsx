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潮玩波普-報價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潮玩波普-報價單</t>
        </is>
      </c>
    </row>
    <row r="2">
      <c r="A2" t="inlineStr">
        <is>
          <t>IP</t>
        </is>
      </c>
      <c r="B2" t="inlineStr">
        <is>
          <t>系列</t>
        </is>
      </c>
      <c r="C2" t="inlineStr">
        <is>
          <t>英文</t>
        </is>
      </c>
      <c r="D2" t="inlineStr">
        <is>
          <t>國際條碼</t>
        </is>
      </c>
      <c r="E2" t="inlineStr">
        <is>
          <t>參考圖</t>
        </is>
      </c>
      <c r="F2" t="inlineStr">
        <is>
          <t>規格</t>
        </is>
      </c>
      <c r="G2" t="inlineStr">
        <is>
          <t>MSRP</t>
        </is>
      </c>
      <c r="H2" t="inlineStr">
        <is>
          <t>定價</t>
        </is>
      </c>
      <c r="I2" t="inlineStr">
        <is>
          <t>折數</t>
        </is>
      </c>
      <c r="J2" t="inlineStr">
        <is>
          <t>單價
（不含稅）</t>
        </is>
      </c>
      <c r="K2" t="inlineStr">
        <is>
          <t>備註</t>
        </is>
      </c>
      <c r="L2" t="inlineStr">
        <is>
          <t>SKN</t>
        </is>
      </c>
      <c r="M2" t="inlineStr">
        <is>
          <t>PO號碼</t>
        </is>
      </c>
      <c r="N2" t="inlineStr">
        <is>
          <t>現貨</t>
        </is>
      </c>
      <c r="O2" t="inlineStr">
        <is>
          <t>訂單總數</t>
        </is>
      </c>
      <c r="P2" t="inlineStr">
        <is>
          <t>S001</t>
        </is>
      </c>
      <c r="Q2" t="inlineStr">
        <is>
          <t>S002</t>
        </is>
      </c>
      <c r="R2" t="inlineStr">
        <is>
          <t>S003</t>
        </is>
      </c>
    </row>
    <row r="3">
      <c r="A3" t="inlineStr">
        <is>
          <t>盲盒產品</t>
        </is>
      </c>
      <c r="N3" t="inlineStr"/>
      <c r="O3" t="inlineStr"/>
      <c r="P3" t="inlineStr">
        <is>
          <t>門市名稱1</t>
        </is>
      </c>
      <c r="Q3" t="inlineStr">
        <is>
          <t>門市名稱2</t>
        </is>
      </c>
      <c r="R3" t="inlineStr">
        <is>
          <t>門市名稱3</t>
        </is>
      </c>
    </row>
    <row r="4">
      <c r="A4" t="inlineStr">
        <is>
          <t xml:space="preserve">
薇薇森林
WIWI FOREST</t>
        </is>
      </c>
      <c r="B4" t="inlineStr">
        <is>
          <t>薇薇內心世界系列-毛絨盲盒</t>
        </is>
      </c>
      <c r="C4" t="inlineStr">
        <is>
          <t xml:space="preserve">BOPTOYS WIWI FOREST BLIND BOX </t>
        </is>
      </c>
      <c r="D4" t="n">
        <v>6975931340546</v>
      </c>
      <c r="F4" t="inlineStr">
        <is>
          <t>款式：6常規＋1隱藏
材質：ABS/五金/聚酯纖維
箱規：96個/箱（即16份中盒/箱）
盒裝：6個/中，16中/箱</t>
        </is>
      </c>
      <c r="G4" t="n">
        <v>390</v>
      </c>
      <c r="H4" t="n">
        <v>399</v>
      </c>
      <c r="I4" t="n">
        <v>0.5</v>
      </c>
      <c r="J4">
        <f>G4*I4</f>
        <v/>
      </c>
      <c r="N4" t="n">
        <v>0</v>
      </c>
      <c r="O4">
        <f>SUM(P4:ZZ4)</f>
        <v/>
      </c>
    </row>
    <row r="5">
      <c r="A5" t="inlineStr">
        <is>
          <t xml:space="preserve">
薇薇森林
WIWI FOREST</t>
        </is>
      </c>
      <c r="B5" t="inlineStr">
        <is>
          <t xml:space="preserve">	薇薇內心世界系列盲盒</t>
        </is>
      </c>
      <c r="C5" t="inlineStr">
        <is>
          <t xml:space="preserve">BOPTOYS WIWI FOREST BLIND BOX </t>
        </is>
      </c>
      <c r="D5" t="n">
        <v>6975931340539</v>
      </c>
      <c r="F5" t="inlineStr">
        <is>
          <t>款式：10常規＋1隱藏
材質：PVC
箱規：120個/箱（即12份中盒/箱）
盒裝：10個/中，12中/箱</t>
        </is>
      </c>
      <c r="G5" t="n">
        <v>190</v>
      </c>
      <c r="H5" t="n">
        <v>199</v>
      </c>
      <c r="I5" t="n">
        <v>0.5</v>
      </c>
      <c r="J5">
        <f>G5*I5</f>
        <v/>
      </c>
      <c r="N5" t="n">
        <v>0</v>
      </c>
      <c r="O5">
        <f>SUM(P5:ZZ5)</f>
        <v/>
      </c>
    </row>
    <row r="6">
      <c r="A6" t="inlineStr">
        <is>
          <t>丫丫
YAYA</t>
        </is>
      </c>
      <c r="B6" t="inlineStr">
        <is>
          <t>丫丫花園小寶系列毛絨盲盒</t>
        </is>
      </c>
      <c r="C6" t="inlineStr">
        <is>
          <t xml:space="preserve">BOPTOYS YAYA BLIND BOX </t>
        </is>
      </c>
      <c r="D6" t="n">
        <v>6975931340928</v>
      </c>
      <c r="F6" t="inlineStr">
        <is>
          <t>款式：8常規＋8驚喜＋1隱藏
材質：ABS/PVC/五金
箱規：72個/箱（即9份中盒/箱）
盒裝：8個/中，9中/箱</t>
        </is>
      </c>
      <c r="G6" t="n">
        <v>390</v>
      </c>
      <c r="H6" t="n">
        <v>399</v>
      </c>
      <c r="I6" t="n">
        <v>0.5</v>
      </c>
      <c r="J6">
        <f>G6*I6</f>
        <v/>
      </c>
      <c r="N6" t="n">
        <v>0</v>
      </c>
      <c r="O6">
        <f>SUM(P6:ZZ6)</f>
        <v/>
      </c>
    </row>
    <row r="7">
      <c r="A7" t="inlineStr">
        <is>
          <t>甜甜
HANA BEAR</t>
        </is>
      </c>
      <c r="B7" t="inlineStr">
        <is>
          <t>甜甜時光秀系列盲盒</t>
        </is>
      </c>
      <c r="C7" t="inlineStr">
        <is>
          <t xml:space="preserve">BOPTOYS HANA BEAR BLIND BOX </t>
        </is>
      </c>
      <c r="D7" t="n">
        <v>6975931340911</v>
      </c>
      <c r="F7" t="inlineStr">
        <is>
          <t>款式：10常規＋1隱藏
材質：PVC
箱規：120個/箱（即12份中盒/箱）
盒裝：10個/中，12中/箱</t>
        </is>
      </c>
      <c r="G7" t="n">
        <v>168</v>
      </c>
      <c r="H7" t="n">
        <v>169</v>
      </c>
      <c r="I7" t="n">
        <v>0.5</v>
      </c>
      <c r="J7">
        <f>G7*I7</f>
        <v/>
      </c>
      <c r="N7" t="n">
        <v>0</v>
      </c>
      <c r="O7">
        <f>SUM(P7:ZZ7)</f>
        <v/>
      </c>
    </row>
    <row r="8">
      <c r="A8" t="inlineStr">
        <is>
          <t>貝琪
BECKY</t>
        </is>
      </c>
      <c r="B8" t="inlineStr">
        <is>
          <t xml:space="preserve">	貝琪毛茸茸春日遊系列盲盒</t>
        </is>
      </c>
      <c r="C8" t="inlineStr">
        <is>
          <t xml:space="preserve">BOPTOYS BECKY BLIND BOX </t>
        </is>
      </c>
      <c r="D8" t="n">
        <v>6975931340737</v>
      </c>
      <c r="F8" t="inlineStr">
        <is>
          <t>款式：8常規＋1隱藏
材質：PVC
箱規：96個/箱（即12份中盒/箱）
盒裝：8個/中，12中/箱</t>
        </is>
      </c>
      <c r="G8" t="n">
        <v>380</v>
      </c>
      <c r="H8" t="n">
        <v>389</v>
      </c>
      <c r="I8" t="n">
        <v>0.5</v>
      </c>
      <c r="J8">
        <f>G8*I8</f>
        <v/>
      </c>
      <c r="N8" t="n">
        <v>0</v>
      </c>
      <c r="O8">
        <f>SUM(P8:ZZ8)</f>
        <v/>
      </c>
    </row>
    <row r="9">
      <c r="A9" t="inlineStr"/>
      <c r="B9" t="inlineStr">
        <is>
          <t>點點童話鎮系列盲盒</t>
        </is>
      </c>
      <c r="C9" t="inlineStr"/>
      <c r="D9" t="n">
        <v>6975931340720</v>
      </c>
      <c r="F9" t="inlineStr"/>
      <c r="G9" t="inlineStr"/>
      <c r="H9" t="inlineStr"/>
      <c r="I9" t="inlineStr"/>
      <c r="J9">
        <f>G9*I9</f>
        <v/>
      </c>
      <c r="K9" t="inlineStr"/>
      <c r="N9" t="n">
        <v>0</v>
      </c>
      <c r="O9">
        <f>SUM(P9:ZZ9)</f>
        <v/>
      </c>
    </row>
    <row r="10">
      <c r="A10" t="inlineStr"/>
      <c r="B10" t="inlineStr">
        <is>
          <t>蜜露晚安派對系列盲盒</t>
        </is>
      </c>
      <c r="C10" t="inlineStr"/>
      <c r="D10" t="n">
        <v>6975931340874</v>
      </c>
      <c r="F10" t="inlineStr"/>
      <c r="G10" t="inlineStr"/>
      <c r="H10" t="inlineStr"/>
      <c r="I10" t="inlineStr"/>
      <c r="J10">
        <f>G10*I10</f>
        <v/>
      </c>
      <c r="K10" t="inlineStr"/>
      <c r="N10" t="n">
        <v>0</v>
      </c>
      <c r="O10">
        <f>SUM(P10:ZZ10)</f>
        <v/>
      </c>
    </row>
    <row r="11">
      <c r="A11" t="inlineStr">
        <is>
          <t>抱抱宇宙
BAOBAO COSMOS</t>
        </is>
      </c>
      <c r="B11" t="inlineStr">
        <is>
          <t>抱抱奇幻夢境系列手辦</t>
        </is>
      </c>
      <c r="C11" t="inlineStr">
        <is>
          <t>Fantasy
Dream Land</t>
        </is>
      </c>
      <c r="D11" t="n">
        <v>6975931341017</v>
      </c>
      <c r="F11" t="inlineStr">
        <is>
          <t>款式：12常规款+1隐藏款
材質：PVC
箱规：144個/箱（即12份中盒/箱）
盒裝：12個/中，12中/箱</t>
        </is>
      </c>
      <c r="G11" t="n">
        <v>190</v>
      </c>
      <c r="H11" t="n">
        <v>190</v>
      </c>
      <c r="I11" t="n">
        <v>0.5</v>
      </c>
      <c r="J11">
        <f>G11*I11</f>
        <v/>
      </c>
      <c r="N11" t="n">
        <v>0</v>
      </c>
      <c r="O11">
        <f>SUM(P11:ZZ11)</f>
        <v/>
      </c>
    </row>
    <row r="12">
      <c r="A12" t="inlineStr">
        <is>
          <t>抱抱宇宙
BAOBAO COSMOS</t>
        </is>
      </c>
      <c r="B12" t="inlineStr">
        <is>
          <t xml:space="preserve">抱抱絨絨仔系列毛絨盲盒(國際版)
</t>
        </is>
      </c>
      <c r="C12" t="inlineStr">
        <is>
          <t>Fuzzy Babe</t>
        </is>
      </c>
      <c r="D12" t="n">
        <v>6975931340942</v>
      </c>
      <c r="F12" t="inlineStr">
        <is>
          <t>款式：8常规款+1隐藏款
材質：ABS＋聚酯纖維＋五金
箱规：96個/箱（即12份中盒/箱）
盒裝：8個/中，12中/箱</t>
        </is>
      </c>
      <c r="G12" t="n">
        <v>190</v>
      </c>
      <c r="H12" t="n">
        <v>190</v>
      </c>
      <c r="I12" t="n">
        <v>0.5</v>
      </c>
      <c r="J12">
        <f>G12*I12</f>
        <v/>
      </c>
      <c r="N12" t="n">
        <v>0</v>
      </c>
      <c r="O12">
        <f>SUM(P12:ZZ12)</f>
        <v/>
      </c>
    </row>
    <row r="13">
      <c r="A13" t="inlineStr">
        <is>
          <t>抱抱宇宙
BAOBAO COSMOS</t>
        </is>
      </c>
      <c r="B13" t="inlineStr">
        <is>
          <t>抱抱Q萌毛茸茸系列毛絨盲盒</t>
        </is>
      </c>
      <c r="C13" t="inlineStr">
        <is>
          <t>BaoBao. Cute and Fluffy Series Plush</t>
        </is>
      </c>
      <c r="D13" t="n">
        <v>6975931340973</v>
      </c>
      <c r="F13" t="inlineStr">
        <is>
          <t>款式：8常规款+1隐藏款
材質：ABS＋聚酯纖維＋五金
箱规：96個/箱（即12份中盒/箱）
盒裝：8個/中，12中/箱</t>
        </is>
      </c>
      <c r="G13" t="n">
        <v>390</v>
      </c>
      <c r="H13" t="n">
        <v>390</v>
      </c>
      <c r="I13" t="n">
        <v>0.5</v>
      </c>
      <c r="J13">
        <f>G13*I13</f>
        <v/>
      </c>
      <c r="N13" t="n">
        <v>0</v>
      </c>
      <c r="O13">
        <f>SUM(P13:ZZ13)</f>
        <v/>
      </c>
    </row>
    <row r="14">
      <c r="A14" t="inlineStr">
        <is>
          <t>抱抱宇宙
BAOBAO COSMOS</t>
        </is>
      </c>
      <c r="B14" t="inlineStr">
        <is>
          <t>抱抱新年系列小盲盒（新年限量）</t>
        </is>
      </c>
      <c r="D14" t="n">
        <v>6975931341062</v>
      </c>
      <c r="F14" t="inlineStr">
        <is>
          <t>款式：12常规款+2隐藏款
材質：PVC
箱規：480個/箱（即40份中盒/箱）
盒裝：12個/中，40中/箱</t>
        </is>
      </c>
      <c r="G14" t="n">
        <v>99</v>
      </c>
      <c r="H14" t="n">
        <v>99</v>
      </c>
      <c r="I14" t="n">
        <v>0.45</v>
      </c>
      <c r="J14">
        <f>G14*I14</f>
        <v/>
      </c>
      <c r="N14" t="n">
        <v>0</v>
      </c>
      <c r="O14">
        <f>SUM(P14:ZZ14)</f>
        <v/>
      </c>
    </row>
    <row r="15">
      <c r="A15" t="inlineStr">
        <is>
          <t>抱抱宇宙
BAOBAO COSMOS</t>
        </is>
      </c>
      <c r="B15" t="inlineStr">
        <is>
          <t>抱抱星座萌寵系列小盲盒</t>
        </is>
      </c>
      <c r="C15" t="inlineStr">
        <is>
          <t>BOPTOYS BAOBAO COSMOS BLIND BOX 
（zodiac）</t>
        </is>
      </c>
      <c r="D15" t="n">
        <v>6975931341000</v>
      </c>
      <c r="F15" t="inlineStr">
        <is>
          <t>款式：24常规款+2驚喜款+4隐藏款
材質：PVC
箱規：480個/箱（即20份中盒/箱）
盒裝：24個/中，20中/箱</t>
        </is>
      </c>
      <c r="G15" t="n">
        <v>99</v>
      </c>
      <c r="H15" t="n">
        <v>99</v>
      </c>
      <c r="I15" t="n">
        <v>0.45</v>
      </c>
      <c r="J15">
        <f>G15*I15</f>
        <v/>
      </c>
      <c r="N15" t="n">
        <v>0</v>
      </c>
      <c r="O15">
        <f>SUM(P15:ZZ15)</f>
        <v/>
      </c>
    </row>
    <row r="16">
      <c r="A16" t="inlineStr">
        <is>
          <t>抱抱宇宙
BAOBAO COSMOS</t>
        </is>
      </c>
      <c r="B16" t="inlineStr">
        <is>
          <t>抱抱寵物店春遊記透色版系列小盲盒</t>
        </is>
      </c>
      <c r="C16" t="inlineStr">
        <is>
          <t>BOPTOYS BAOBAO COSMOS BLIND BOX 
（spring）</t>
        </is>
      </c>
      <c r="D16" t="n">
        <v>6975931340324</v>
      </c>
      <c r="F16" t="inlineStr">
        <is>
          <t>款式：20常规款+2隐藏款
材質：PVC
箱規：800個/箱（即40份中盒/箱）
盒裝：20個/中，40中/箱</t>
        </is>
      </c>
      <c r="G16" t="n">
        <v>89</v>
      </c>
      <c r="H16" t="n">
        <v>89</v>
      </c>
      <c r="I16" t="n">
        <v>0.45</v>
      </c>
      <c r="J16">
        <f>G16*I16</f>
        <v/>
      </c>
      <c r="N16" t="n">
        <v>0</v>
      </c>
      <c r="O16">
        <f>SUM(P16:ZZ16)</f>
        <v/>
      </c>
    </row>
    <row r="17">
      <c r="A17" t="inlineStr">
        <is>
          <t>烏米
UMI</t>
        </is>
      </c>
      <c r="B17" t="inlineStr">
        <is>
          <t xml:space="preserve">	烏米MBTI穿越異世界系列小盲盒</t>
        </is>
      </c>
      <c r="C17" t="inlineStr">
        <is>
          <t xml:space="preserve">BOPTOYS UMI COSMOS BLIND BOX </t>
        </is>
      </c>
      <c r="D17" t="n">
        <v>6975931340980</v>
      </c>
      <c r="F17" t="inlineStr">
        <is>
          <t>款式：16常规款+2隐藏款
材質：PVC
箱規：480個/箱（即30份中盒/箱）
盒裝：16個/中，30中/箱</t>
        </is>
      </c>
      <c r="G17" t="n">
        <v>120</v>
      </c>
      <c r="H17" t="n">
        <v>129</v>
      </c>
      <c r="I17" t="n">
        <v>0.5</v>
      </c>
      <c r="J17">
        <f>G17*I17</f>
        <v/>
      </c>
      <c r="N17" t="n">
        <v>0</v>
      </c>
      <c r="O17">
        <f>SUM(P17:ZZ17)</f>
        <v/>
      </c>
    </row>
    <row r="18">
      <c r="A18" t="inlineStr">
        <is>
          <t>饅小小
MANMAN</t>
        </is>
      </c>
      <c r="B18" t="inlineStr">
        <is>
          <t>饅小小・小小牧場大冒險系列小盲盒</t>
        </is>
      </c>
      <c r="C18" t="inlineStr">
        <is>
          <t xml:space="preserve">BOPTOYS MANMAN COSMOS BLIND BOX </t>
        </is>
      </c>
      <c r="D18" t="n">
        <v>6975931340935</v>
      </c>
      <c r="F18" t="inlineStr">
        <is>
          <t>款式：16常规款+1隐藏款
材質：PVC
箱規：480個/箱（即30份中盒/箱）
盒裝：16個/中，30中/箱</t>
        </is>
      </c>
      <c r="G18" t="n">
        <v>99</v>
      </c>
      <c r="H18" t="n">
        <v>99</v>
      </c>
      <c r="I18" t="n">
        <v>0.5</v>
      </c>
      <c r="J18">
        <f>G18*I18</f>
        <v/>
      </c>
      <c r="N18" t="n">
        <v>0</v>
      </c>
      <c r="O18">
        <f>SUM(P18:ZZ18)</f>
        <v/>
      </c>
    </row>
  </sheetData>
  <mergeCells count="1">
    <mergeCell ref="A3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2026-04-04T19:24:58Z</dcterms:created>
  <dcterms:modified xmlns:dcterms="http://purl.org/dc/terms/" xmlns:xsi="http://www.w3.org/2001/XMLSchema-instance" xsi:type="dcterms:W3CDTF">2026-04-04T19:24:58Z</dcterms:modified>
</cp:coreProperties>
</file>